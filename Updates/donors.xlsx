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yoan.raih\Desktop\Pro\Rwanda - Green PFM\my-greenpfm-website\Updates\"/>
    </mc:Choice>
  </mc:AlternateContent>
  <xr:revisionPtr revIDLastSave="0" documentId="13_ncr:1_{284B2CFE-99B2-40A0-9897-3DC674B951CE}" xr6:coauthVersionLast="47" xr6:coauthVersionMax="47" xr10:uidLastSave="{00000000-0000-0000-0000-000000000000}"/>
  <bookViews>
    <workbookView xWindow="2265" yWindow="60" windowWidth="21600" windowHeight="11295" tabRatio="500" activeTab="2" xr2:uid="{00000000-000D-0000-FFFF-FFFF00000000}"/>
  </bookViews>
  <sheets>
    <sheet name="Donors" sheetId="1" r:id="rId1"/>
    <sheet name="Institutions" sheetId="2" r:id="rId2"/>
    <sheet name="Interventions" sheetId="3" r:id="rId3"/>
    <sheet name="README" sheetId="6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3" l="1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<sst xmlns="http://schemas.openxmlformats.org/spreadsheetml/2006/main" count="203" uniqueCount="107">
  <si>
    <t>Donors that appear as COLUMNS in the matrix and as filter pills in the map view. Edit the list to add/remove. Display order = top-to-bottom in this sheet.</t>
  </si>
  <si>
    <t>Donor name</t>
  </si>
  <si>
    <t>Family color</t>
  </si>
  <si>
    <t>AFD</t>
  </si>
  <si>
    <t>amber</t>
  </si>
  <si>
    <t>EIB</t>
  </si>
  <si>
    <t>GIZ</t>
  </si>
  <si>
    <t>LuxDev</t>
  </si>
  <si>
    <t>GGGI</t>
  </si>
  <si>
    <t>World Bank</t>
  </si>
  <si>
    <t>IMF</t>
  </si>
  <si>
    <t>EU</t>
  </si>
  <si>
    <t>Receiving institutions (rows of the matrix, pins on the map). Pin X / Pin Y are normalised 0–1 coordinates relative to the Rwanda SVG viewBox.</t>
  </si>
  <si>
    <t>id</t>
  </si>
  <si>
    <t>Label</t>
  </si>
  <si>
    <t>Axis (A/B)</t>
  </si>
  <si>
    <t>Pin X (0–1)</t>
  </si>
  <si>
    <t>Pin Y (0–1)</t>
  </si>
  <si>
    <t>minecofin-debt</t>
  </si>
  <si>
    <t>B</t>
  </si>
  <si>
    <t>minecofin-cfd</t>
  </si>
  <si>
    <t>minecofin-mfad</t>
  </si>
  <si>
    <t>bnr-strategy</t>
  </si>
  <si>
    <t>A</t>
  </si>
  <si>
    <t>bnr-monpol</t>
  </si>
  <si>
    <t>bnr-fm</t>
  </si>
  <si>
    <t>cma</t>
  </si>
  <si>
    <t>rse</t>
  </si>
  <si>
    <t>Rwanda Stock Exchange</t>
  </si>
  <si>
    <t>brd</t>
  </si>
  <si>
    <t>bok</t>
  </si>
  <si>
    <t>Bank of Kigali</t>
  </si>
  <si>
    <t>nisr</t>
  </si>
  <si>
    <t>Each row = one intervention shown in a matrix cell / on the map. Institution_id must match the 'id' column in the Institutions sheet. Donor must match the 'Donor name' column in the Donors sheet. Status = active | planned | completed | exploratory. TBC = TRUE if the intervention is to be confirmed (shown with a flag ⚑). Use *(GSFF-funded)* etc. directly in the Label field for footnote conventions.</t>
  </si>
  <si>
    <t>institution_id</t>
  </si>
  <si>
    <t>Donor</t>
  </si>
  <si>
    <t>Status</t>
  </si>
  <si>
    <t>Type</t>
  </si>
  <si>
    <t>Label (shown in cell / panel)</t>
  </si>
  <si>
    <t>TBC</t>
  </si>
  <si>
    <t>active</t>
  </si>
  <si>
    <t>TA</t>
  </si>
  <si>
    <t>€1M TA — green funding development &amp; potential capital markets tap</t>
  </si>
  <si>
    <t>€1M TA — international consultant for KPI assessment &amp; reporting (Ireme Invest)</t>
  </si>
  <si>
    <t>planned</t>
  </si>
  <si>
    <t>ESTEEM mission (June 2026) — climate macro modelling (floods, landslides)</t>
  </si>
  <si>
    <t>Loan+TA</t>
  </si>
  <si>
    <t>€20M green credit line + TA under Greening Financial Systems (GFS) programme</t>
  </si>
  <si>
    <t>Loan</t>
  </si>
  <si>
    <t>€100M climate finance credit line (2024)</t>
  </si>
  <si>
    <t>Legal support; fund regulations; impact fund regulation</t>
  </si>
  <si>
    <t>Green Exchange Window — strategic programme with Luxembourg Stock Exchange</t>
  </si>
  <si>
    <t>2 embedded advisors to strengthen Climate Finance Unit (under recruitment)</t>
  </si>
  <si>
    <t>exploratory</t>
  </si>
  <si>
    <t>Support to be confirmed</t>
  </si>
  <si>
    <t>Project</t>
  </si>
  <si>
    <t>Carbon credit standardised crediting framework — clean cooking pilot (~$19M)</t>
  </si>
  <si>
    <t>completed</t>
  </si>
  <si>
    <t>Report</t>
  </si>
  <si>
    <t>DRF Diagnostic Report + National DRF Strategy *(GSFF-funded, 2025)*</t>
  </si>
  <si>
    <t>Guarantee</t>
  </si>
  <si>
    <t>EFSD+ guarantee backstopping EIB Ireme Invest credit line</t>
  </si>
  <si>
    <t>EFSD+ guarantee backstopping EIB BoK credit line</t>
  </si>
  <si>
    <t>Environment data foundations (with REMA &amp; Ministry of Environment)</t>
  </si>
  <si>
    <t>AfDB</t>
  </si>
  <si>
    <t>CMA 5-year strategy support</t>
  </si>
  <si>
    <t>Donor mapping data — editing guide</t>
  </si>
  <si>
    <t>WORKFLOW</t>
  </si>
  <si>
    <t>1. Edit any of the sheets in this workbook.</t>
  </si>
  <si>
    <t>2. Save the file (keep it as donors.xlsx in the data/ folder).</t>
  </si>
  <si>
    <t>3. Run: python regenerate_json.py    (in a terminal at the project root)</t>
  </si>
  <si>
    <t>4. Reload the website — the donor mapping (matrix + map) will reflect your edits.</t>
  </si>
  <si>
    <t>SHEET PURPOSES</t>
  </si>
  <si>
    <t>• Donors                 → columns of the matrix / filter pills on the map</t>
  </si>
  <si>
    <t>• Institutions           → rows of the matrix / pins on the map</t>
  </si>
  <si>
    <t>• Interventions          → cells of the matrix / entries in the map side-panel</t>
  </si>
  <si>
    <t>• DP_Coordination        → amber arcs (map) / coordination glyphs (matrix)</t>
  </si>
  <si>
    <t>• Other_Donors_Footnote  → footnote text below the donor mapping</t>
  </si>
  <si>
    <t>STATUS LEGEND</t>
  </si>
  <si>
    <t>• active        → solid green dot ●</t>
  </si>
  <si>
    <t>• planned       → amber dot ◐</t>
  </si>
  <si>
    <t>• completed     → slate dot ○</t>
  </si>
  <si>
    <t>• exploratory   → grey triangle ▷</t>
  </si>
  <si>
    <t>• TBC = TRUE    → flag ⚑ overlay</t>
  </si>
  <si>
    <t>FOOTNOTE CONVENTIONS</t>
  </si>
  <si>
    <t>• To mark an intervention as GSFF-funded, append '*(GSFF-funded)*' to the Label.</t>
  </si>
  <si>
    <t>• To mark a year, append '(2025)' or similar.</t>
  </si>
  <si>
    <t>IDS MUST MATCH</t>
  </si>
  <si>
    <t>• Interventions.institution_id must be in Institutions.id</t>
  </si>
  <si>
    <t>• Interventions.Donor must be in Donors.Donor name</t>
  </si>
  <si>
    <t>• DP_Coordination.From / To must be in Donors.Donor name</t>
  </si>
  <si>
    <t>Mismatches are skipped silently — the regenerate script will warn.</t>
  </si>
  <si>
    <t>Rwanda Development Bank</t>
  </si>
  <si>
    <t>National Institute for Statistics of Rwanda</t>
  </si>
  <si>
    <t>MINECOFIN — Debt Directorate</t>
  </si>
  <si>
    <t>MINECOFIN — Climate Finance Directorate</t>
  </si>
  <si>
    <t>MINECOFIN — Macroeconomic Policy</t>
  </si>
  <si>
    <t>BNR — Strategy Directorate</t>
  </si>
  <si>
    <t>BNR — Monetary Policy Directorate</t>
  </si>
  <si>
    <t>BNR — Financial Markets Directorate</t>
  </si>
  <si>
    <t>Capital Market Authority</t>
  </si>
  <si>
    <t>Green taxonomy support</t>
  </si>
  <si>
    <t>WB-RAMP — capacity building on reserve management</t>
  </si>
  <si>
    <t xml:space="preserve">QPM forecasting model </t>
  </si>
  <si>
    <t>Support to the design of an SLF</t>
  </si>
  <si>
    <t>Natural Capital Accounting exercise (with WRI?)</t>
  </si>
  <si>
    <t>Integration of climate and nature in macroeconomic forecasting (with WRI)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</si>
</sst>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546E7A"/>
        <bgColor rgb="FF55555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0" fontId="3" fillId="0" borderId="2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FF6600"/>
      <rgbColor rgb="FF546E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pane ySplit="2" topLeftCell="A3" activePane="bottomLeft" state="frozen"/>
      <selection pane="bottomLeft" activeCell="A12" sqref="A12"/>
    </sheetView>
  </sheetViews>
  <sheetFormatPr baseColWidth="10" defaultColWidth="8.7109375" defaultRowHeight="15" x14ac:dyDescent="0.25"/>
  <cols>
    <col min="1" max="1" width="22" customWidth="1"/>
    <col min="2" max="2" width="14" customWidth="1"/>
  </cols>
  <sheetData>
    <row r="1" spans="1:2" ht="31.5" customHeight="1" x14ac:dyDescent="0.25">
      <c r="A1" s="6" t="s">
        <v>0</v>
      </c>
      <c r="B1" s="6"/>
    </row>
    <row r="2" spans="1:2" ht="27.75" customHeight="1" x14ac:dyDescent="0.25">
      <c r="A2" s="1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64</v>
      </c>
      <c r="B4" s="2" t="s">
        <v>4</v>
      </c>
    </row>
    <row r="5" spans="1:2" x14ac:dyDescent="0.25">
      <c r="A5" s="2" t="s">
        <v>5</v>
      </c>
      <c r="B5" s="2" t="s">
        <v>4</v>
      </c>
    </row>
    <row r="6" spans="1:2" x14ac:dyDescent="0.25">
      <c r="A6" s="2" t="s">
        <v>6</v>
      </c>
      <c r="B6" s="2" t="s">
        <v>4</v>
      </c>
    </row>
    <row r="7" spans="1:2" x14ac:dyDescent="0.25">
      <c r="A7" s="2" t="s">
        <v>7</v>
      </c>
      <c r="B7" s="2" t="s">
        <v>4</v>
      </c>
    </row>
    <row r="8" spans="1:2" x14ac:dyDescent="0.25">
      <c r="A8" s="2" t="s">
        <v>8</v>
      </c>
      <c r="B8" s="2" t="s">
        <v>4</v>
      </c>
    </row>
    <row r="9" spans="1:2" x14ac:dyDescent="0.25">
      <c r="A9" s="2" t="s">
        <v>9</v>
      </c>
      <c r="B9" s="2" t="s">
        <v>4</v>
      </c>
    </row>
    <row r="10" spans="1:2" x14ac:dyDescent="0.25">
      <c r="A10" s="2" t="s">
        <v>10</v>
      </c>
      <c r="B10" s="2" t="s">
        <v>4</v>
      </c>
    </row>
    <row r="11" spans="1:2" x14ac:dyDescent="0.25">
      <c r="A11" s="2" t="s">
        <v>11</v>
      </c>
      <c r="B11" s="2" t="s">
        <v>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Normal="100" workbookViewId="0">
      <pane ySplit="2" topLeftCell="A3" activePane="bottomLeft" state="frozen"/>
      <selection pane="bottomLeft" activeCell="A5" sqref="A5"/>
    </sheetView>
  </sheetViews>
  <sheetFormatPr baseColWidth="10" defaultColWidth="8.7109375" defaultRowHeight="15" x14ac:dyDescent="0.25"/>
  <cols>
    <col min="1" max="1" width="22" customWidth="1"/>
    <col min="2" max="2" width="40" customWidth="1"/>
    <col min="3" max="3" width="12" customWidth="1"/>
    <col min="4" max="5" width="14" customWidth="1"/>
  </cols>
  <sheetData>
    <row r="1" spans="1:5" ht="31.5" customHeight="1" x14ac:dyDescent="0.25">
      <c r="A1" s="6" t="s">
        <v>12</v>
      </c>
      <c r="B1" s="6"/>
      <c r="C1" s="6"/>
      <c r="D1" s="6"/>
      <c r="E1" s="6"/>
    </row>
    <row r="2" spans="1:5" ht="27.75" customHeight="1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 x14ac:dyDescent="0.25">
      <c r="A3" s="2" t="s">
        <v>18</v>
      </c>
      <c r="B3" s="2" t="s">
        <v>94</v>
      </c>
      <c r="C3" s="2" t="s">
        <v>19</v>
      </c>
      <c r="D3" s="2">
        <v>0.45</v>
      </c>
      <c r="E3" s="2">
        <v>0.42</v>
      </c>
    </row>
    <row r="4" spans="1:5" x14ac:dyDescent="0.25">
      <c r="A4" s="2" t="s">
        <v>20</v>
      </c>
      <c r="B4" s="2" t="s">
        <v>95</v>
      </c>
      <c r="C4" s="2" t="s">
        <v>19</v>
      </c>
      <c r="D4" s="2">
        <v>0.48</v>
      </c>
      <c r="E4" s="2">
        <v>0.4</v>
      </c>
    </row>
    <row r="5" spans="1:5" x14ac:dyDescent="0.25">
      <c r="A5" s="2" t="s">
        <v>21</v>
      </c>
      <c r="B5" s="2" t="s">
        <v>96</v>
      </c>
      <c r="C5" s="2" t="s">
        <v>19</v>
      </c>
      <c r="D5" s="2">
        <v>0.51</v>
      </c>
      <c r="E5" s="2">
        <v>0.42</v>
      </c>
    </row>
    <row r="6" spans="1:5" x14ac:dyDescent="0.25">
      <c r="A6" s="2" t="s">
        <v>22</v>
      </c>
      <c r="B6" s="2" t="s">
        <v>97</v>
      </c>
      <c r="C6" s="2" t="s">
        <v>23</v>
      </c>
      <c r="D6" s="2">
        <v>0.4</v>
      </c>
      <c r="E6" s="2">
        <v>0.5</v>
      </c>
    </row>
    <row r="7" spans="1:5" x14ac:dyDescent="0.25">
      <c r="A7" s="2" t="s">
        <v>24</v>
      </c>
      <c r="B7" s="2" t="s">
        <v>98</v>
      </c>
      <c r="C7" s="2" t="s">
        <v>23</v>
      </c>
      <c r="D7" s="2">
        <v>0.43</v>
      </c>
      <c r="E7" s="2">
        <v>0.52</v>
      </c>
    </row>
    <row r="8" spans="1:5" x14ac:dyDescent="0.25">
      <c r="A8" s="2" t="s">
        <v>25</v>
      </c>
      <c r="B8" s="2" t="s">
        <v>99</v>
      </c>
      <c r="C8" s="2" t="s">
        <v>23</v>
      </c>
      <c r="D8" s="2">
        <v>0.46</v>
      </c>
      <c r="E8" s="2">
        <v>0.5</v>
      </c>
    </row>
    <row r="9" spans="1:5" x14ac:dyDescent="0.25">
      <c r="A9" s="2" t="s">
        <v>26</v>
      </c>
      <c r="B9" s="2" t="s">
        <v>100</v>
      </c>
      <c r="C9" s="2" t="s">
        <v>19</v>
      </c>
      <c r="D9" s="2">
        <v>0.55000000000000004</v>
      </c>
      <c r="E9" s="2">
        <v>0.5</v>
      </c>
    </row>
    <row r="10" spans="1:5" x14ac:dyDescent="0.25">
      <c r="A10" s="2" t="s">
        <v>27</v>
      </c>
      <c r="B10" s="2" t="s">
        <v>28</v>
      </c>
      <c r="C10" s="2" t="s">
        <v>19</v>
      </c>
      <c r="D10" s="2">
        <v>0.57999999999999996</v>
      </c>
      <c r="E10" s="2">
        <v>0.48</v>
      </c>
    </row>
    <row r="11" spans="1:5" x14ac:dyDescent="0.25">
      <c r="A11" s="2" t="s">
        <v>29</v>
      </c>
      <c r="B11" s="2" t="s">
        <v>92</v>
      </c>
      <c r="C11" s="2" t="s">
        <v>19</v>
      </c>
      <c r="D11" s="2">
        <v>0.52</v>
      </c>
      <c r="E11" s="2">
        <v>0.55000000000000004</v>
      </c>
    </row>
    <row r="12" spans="1:5" x14ac:dyDescent="0.25">
      <c r="A12" s="2" t="s">
        <v>30</v>
      </c>
      <c r="B12" s="2" t="s">
        <v>31</v>
      </c>
      <c r="C12" s="2" t="s">
        <v>19</v>
      </c>
      <c r="D12" s="2">
        <v>0.5</v>
      </c>
      <c r="E12" s="2">
        <v>0.57999999999999996</v>
      </c>
    </row>
    <row r="13" spans="1:5" x14ac:dyDescent="0.25">
      <c r="A13" s="2" t="s">
        <v>32</v>
      </c>
      <c r="B13" s="2" t="s">
        <v>93</v>
      </c>
      <c r="C13" s="2" t="s">
        <v>19</v>
      </c>
      <c r="D13" s="2">
        <v>0.4</v>
      </c>
      <c r="E13" s="2">
        <v>0.45</v>
      </c>
    </row>
    <row r="14" spans="1:5" x14ac:dyDescent="0.25">
      <c r="A14" s="5"/>
    </row>
  </sheetData>
  <mergeCells count="1">
    <mergeCell ref="A1:E1"/>
  </mergeCells>
  <dataValidations count="1">
    <dataValidation type="list" allowBlank="1" sqref="C3:C198" xr:uid="{00000000-0002-0000-0100-000000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zoomScaleNormal="100" workbookViewId="0">
      <pane ySplit="2" topLeftCell="A11" activePane="bottomLeft" state="frozen"/>
      <selection pane="bottomLeft" activeCell="E21" sqref="E21"/>
    </sheetView>
  </sheetViews>
  <sheetFormatPr baseColWidth="10" defaultColWidth="8.7109375" defaultRowHeight="15" x14ac:dyDescent="0.25"/>
  <cols>
    <col min="1" max="1" width="22" customWidth="1"/>
    <col min="2" max="2" width="16" customWidth="1"/>
    <col min="3" max="4" width="14" customWidth="1"/>
    <col min="5" max="5" width="80" customWidth="1"/>
    <col min="6" max="6" width="8" customWidth="1"/>
  </cols>
  <sheetData>
    <row r="1" spans="1:6" ht="55.5" customHeight="1" x14ac:dyDescent="0.25">
      <c r="A1" s="6" t="s">
        <v>33</v>
      </c>
      <c r="B1" s="6"/>
      <c r="C1" s="6"/>
      <c r="D1" s="6"/>
      <c r="E1" s="6"/>
      <c r="F1" s="6"/>
    </row>
    <row r="2" spans="1:6" ht="27.75" customHeight="1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</row>
    <row r="3" spans="1:6" x14ac:dyDescent="0.25">
      <c r="A3" s="2" t="s">
        <v>30</v>
      </c>
      <c r="B3" s="2" t="s">
        <v>3</v>
      </c>
      <c r="C3" s="2" t="s">
        <v>40</v>
      </c>
      <c r="D3" s="2" t="s">
        <v>41</v>
      </c>
      <c r="E3" s="2" t="s">
        <v>42</v>
      </c>
      <c r="F3" s="2" t="b">
        <f>FALSE()</f>
        <v>0</v>
      </c>
    </row>
    <row r="4" spans="1:6" x14ac:dyDescent="0.25">
      <c r="A4" s="2" t="s">
        <v>29</v>
      </c>
      <c r="B4" s="2" t="s">
        <v>3</v>
      </c>
      <c r="C4" s="2" t="s">
        <v>40</v>
      </c>
      <c r="D4" s="2" t="s">
        <v>41</v>
      </c>
      <c r="E4" s="2" t="s">
        <v>43</v>
      </c>
      <c r="F4" s="2" t="b">
        <f>FALSE()</f>
        <v>0</v>
      </c>
    </row>
    <row r="5" spans="1:6" x14ac:dyDescent="0.25">
      <c r="A5" s="2" t="s">
        <v>24</v>
      </c>
      <c r="B5" s="2" t="s">
        <v>3</v>
      </c>
      <c r="C5" s="2" t="s">
        <v>44</v>
      </c>
      <c r="D5" s="2" t="s">
        <v>41</v>
      </c>
      <c r="E5" s="2" t="s">
        <v>45</v>
      </c>
      <c r="F5" s="2" t="b">
        <f>FALSE()</f>
        <v>0</v>
      </c>
    </row>
    <row r="6" spans="1:6" x14ac:dyDescent="0.25">
      <c r="A6" s="2" t="s">
        <v>29</v>
      </c>
      <c r="B6" s="2" t="s">
        <v>5</v>
      </c>
      <c r="C6" s="2" t="s">
        <v>40</v>
      </c>
      <c r="D6" s="2" t="s">
        <v>46</v>
      </c>
      <c r="E6" s="2" t="s">
        <v>47</v>
      </c>
      <c r="F6" s="2" t="b">
        <f>FALSE()</f>
        <v>0</v>
      </c>
    </row>
    <row r="7" spans="1:6" x14ac:dyDescent="0.25">
      <c r="A7" s="2" t="s">
        <v>30</v>
      </c>
      <c r="B7" s="2" t="s">
        <v>5</v>
      </c>
      <c r="C7" s="2" t="s">
        <v>40</v>
      </c>
      <c r="D7" s="2" t="s">
        <v>48</v>
      </c>
      <c r="E7" s="2" t="s">
        <v>49</v>
      </c>
      <c r="F7" s="2" t="b">
        <f>FALSE()</f>
        <v>0</v>
      </c>
    </row>
    <row r="8" spans="1:6" x14ac:dyDescent="0.25">
      <c r="A8" s="2" t="s">
        <v>20</v>
      </c>
      <c r="B8" s="2" t="s">
        <v>6</v>
      </c>
      <c r="C8" s="2" t="s">
        <v>40</v>
      </c>
      <c r="D8" s="2" t="s">
        <v>41</v>
      </c>
      <c r="E8" s="2" t="s">
        <v>101</v>
      </c>
      <c r="F8" s="2" t="b">
        <f>FALSE()</f>
        <v>0</v>
      </c>
    </row>
    <row r="9" spans="1:6" x14ac:dyDescent="0.25">
      <c r="A9" s="2" t="s">
        <v>26</v>
      </c>
      <c r="B9" s="2" t="s">
        <v>7</v>
      </c>
      <c r="C9" s="2" t="s">
        <v>40</v>
      </c>
      <c r="D9" s="2" t="s">
        <v>41</v>
      </c>
      <c r="E9" s="2" t="s">
        <v>50</v>
      </c>
      <c r="F9" s="2" t="b">
        <f>FALSE()</f>
        <v>0</v>
      </c>
    </row>
    <row r="10" spans="1:6" x14ac:dyDescent="0.25">
      <c r="A10" s="2" t="s">
        <v>27</v>
      </c>
      <c r="B10" s="2" t="s">
        <v>7</v>
      </c>
      <c r="C10" s="2" t="s">
        <v>40</v>
      </c>
      <c r="D10" s="2" t="s">
        <v>41</v>
      </c>
      <c r="E10" s="2" t="s">
        <v>51</v>
      </c>
      <c r="F10" s="2" t="b">
        <f>FALSE()</f>
        <v>0</v>
      </c>
    </row>
    <row r="11" spans="1:6" x14ac:dyDescent="0.25">
      <c r="A11" s="2" t="s">
        <v>20</v>
      </c>
      <c r="B11" s="2" t="s">
        <v>8</v>
      </c>
      <c r="C11" s="2" t="s">
        <v>44</v>
      </c>
      <c r="D11" s="2" t="s">
        <v>41</v>
      </c>
      <c r="E11" s="2" t="s">
        <v>52</v>
      </c>
      <c r="F11" s="2" t="b">
        <f>TRUE()</f>
        <v>1</v>
      </c>
    </row>
    <row r="12" spans="1:6" x14ac:dyDescent="0.25">
      <c r="A12" s="2" t="s">
        <v>26</v>
      </c>
      <c r="B12" s="2" t="s">
        <v>8</v>
      </c>
      <c r="C12" s="2" t="s">
        <v>53</v>
      </c>
      <c r="D12" s="2" t="s">
        <v>41</v>
      </c>
      <c r="E12" s="2" t="s">
        <v>54</v>
      </c>
      <c r="F12" s="2" t="b">
        <f>TRUE()</f>
        <v>1</v>
      </c>
    </row>
    <row r="13" spans="1:6" x14ac:dyDescent="0.25">
      <c r="A13" s="2" t="s">
        <v>27</v>
      </c>
      <c r="B13" s="2" t="s">
        <v>8</v>
      </c>
      <c r="C13" s="2" t="s">
        <v>40</v>
      </c>
      <c r="D13" s="2" t="s">
        <v>41</v>
      </c>
      <c r="E13" s="2" t="s">
        <v>54</v>
      </c>
      <c r="F13" s="2" t="b">
        <f>FALSE()</f>
        <v>0</v>
      </c>
    </row>
    <row r="14" spans="1:6" x14ac:dyDescent="0.25">
      <c r="A14" s="2" t="s">
        <v>25</v>
      </c>
      <c r="B14" s="2" t="s">
        <v>9</v>
      </c>
      <c r="C14" s="2" t="s">
        <v>40</v>
      </c>
      <c r="D14" s="2" t="s">
        <v>41</v>
      </c>
      <c r="E14" s="2" t="s">
        <v>102</v>
      </c>
      <c r="F14" s="2" t="b">
        <f>FALSE()</f>
        <v>0</v>
      </c>
    </row>
    <row r="15" spans="1:6" x14ac:dyDescent="0.25">
      <c r="A15" s="2" t="s">
        <v>29</v>
      </c>
      <c r="B15" s="2" t="s">
        <v>9</v>
      </c>
      <c r="C15" s="2" t="s">
        <v>40</v>
      </c>
      <c r="D15" s="2" t="s">
        <v>55</v>
      </c>
      <c r="E15" s="2" t="s">
        <v>56</v>
      </c>
      <c r="F15" s="2" t="b">
        <f>FALSE()</f>
        <v>0</v>
      </c>
    </row>
    <row r="16" spans="1:6" x14ac:dyDescent="0.25">
      <c r="A16" s="2" t="s">
        <v>32</v>
      </c>
      <c r="B16" s="2" t="s">
        <v>9</v>
      </c>
      <c r="C16" s="2" t="s">
        <v>40</v>
      </c>
      <c r="D16" s="2" t="s">
        <v>41</v>
      </c>
      <c r="E16" s="2" t="s">
        <v>105</v>
      </c>
      <c r="F16" s="2" t="b">
        <f>FALSE()</f>
        <v>0</v>
      </c>
    </row>
    <row r="17" spans="1:6" x14ac:dyDescent="0.25">
      <c r="A17" s="2" t="s">
        <v>20</v>
      </c>
      <c r="B17" s="2" t="s">
        <v>9</v>
      </c>
      <c r="C17" s="2" t="s">
        <v>57</v>
      </c>
      <c r="D17" s="2" t="s">
        <v>58</v>
      </c>
      <c r="E17" s="2" t="s">
        <v>59</v>
      </c>
      <c r="F17" s="2" t="b">
        <f>FALSE()</f>
        <v>0</v>
      </c>
    </row>
    <row r="18" spans="1:6" x14ac:dyDescent="0.25">
      <c r="A18" s="2" t="s">
        <v>24</v>
      </c>
      <c r="B18" s="2" t="s">
        <v>10</v>
      </c>
      <c r="C18" s="2" t="s">
        <v>40</v>
      </c>
      <c r="D18" s="2" t="s">
        <v>41</v>
      </c>
      <c r="E18" s="2" t="s">
        <v>103</v>
      </c>
      <c r="F18" s="2" t="b">
        <f>FALSE()</f>
        <v>0</v>
      </c>
    </row>
    <row r="19" spans="1:6" x14ac:dyDescent="0.25">
      <c r="A19" s="2" t="s">
        <v>29</v>
      </c>
      <c r="B19" s="2" t="s">
        <v>11</v>
      </c>
      <c r="C19" s="2" t="s">
        <v>44</v>
      </c>
      <c r="D19" s="2" t="s">
        <v>60</v>
      </c>
      <c r="E19" s="2" t="s">
        <v>61</v>
      </c>
      <c r="F19" s="2" t="b">
        <f>FALSE()</f>
        <v>0</v>
      </c>
    </row>
    <row r="20" spans="1:6" x14ac:dyDescent="0.25">
      <c r="A20" s="2" t="s">
        <v>30</v>
      </c>
      <c r="B20" s="2" t="s">
        <v>11</v>
      </c>
      <c r="C20" s="2" t="s">
        <v>44</v>
      </c>
      <c r="D20" s="2" t="s">
        <v>60</v>
      </c>
      <c r="E20" s="2" t="s">
        <v>62</v>
      </c>
      <c r="F20" s="2" t="b">
        <f>FALSE()</f>
        <v>0</v>
      </c>
    </row>
    <row r="21" spans="1:6" x14ac:dyDescent="0.25">
      <c r="A21" s="2" t="s">
        <v>32</v>
      </c>
      <c r="B21" s="2" t="s">
        <v>11</v>
      </c>
      <c r="C21" s="2" t="s">
        <v>40</v>
      </c>
      <c r="D21" s="2" t="s">
        <v>41</v>
      </c>
      <c r="E21" s="2" t="s">
        <v>63</v>
      </c>
      <c r="F21" s="2" t="b">
        <f>FALSE()</f>
        <v>0</v>
      </c>
    </row>
    <row r="22" spans="1:6" x14ac:dyDescent="0.25">
      <c r="A22" s="5" t="s">
        <v>26</v>
      </c>
      <c r="B22" s="5" t="s">
        <v>64</v>
      </c>
      <c r="C22" s="5" t="s">
        <v>57</v>
      </c>
      <c r="D22" s="5" t="s">
        <v>41</v>
      </c>
      <c r="E22" s="5" t="s">
        <v>65</v>
      </c>
      <c r="F22" s="2" t="b">
        <f>FALSE()</f>
        <v>0</v>
      </c>
    </row>
    <row r="23" spans="1:6" x14ac:dyDescent="0.25">
      <c r="A23" s="2" t="s">
        <v>18</v>
      </c>
      <c r="B23" s="2" t="s">
        <v>9</v>
      </c>
      <c r="C23" s="2" t="s">
        <v>40</v>
      </c>
      <c r="D23" s="2" t="s">
        <v>41</v>
      </c>
      <c r="E23" s="2" t="s">
        <v>104</v>
      </c>
      <c r="F23" s="2" t="b">
        <f>FALSE()</f>
        <v>0</v>
      </c>
    </row>
    <row r="24" spans="1:6" x14ac:dyDescent="0.25">
      <c r="A24" s="2" t="s">
        <v>21</v>
      </c>
      <c r="B24" s="5" t="s">
        <v>9</v>
      </c>
      <c r="C24" s="5" t="s">
        <v>44</v>
      </c>
      <c r="D24" s="5" t="s">
        <v>41</v>
      </c>
      <c r="E24" s="5" t="s">
        <v>106</v>
      </c>
      <c r="F24" s="2" t="b">
        <f>FALSE()</f>
        <v>0</v>
      </c>
    </row>
  </sheetData>
  <mergeCells count="1">
    <mergeCell ref="A1:F1"/>
  </mergeCells>
  <dataValidations count="2">
    <dataValidation type="list" allowBlank="1" sqref="C3:C394" xr:uid="{00000000-0002-0000-0200-000000000000}">
      <formula1>"active,planned,completed,exploratory"</formula1>
      <formula2>0</formula2>
    </dataValidation>
    <dataValidation type="list" allowBlank="1" sqref="F3:F394" xr:uid="{00000000-0002-0000-0200-000001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1"/>
  <sheetViews>
    <sheetView zoomScaleNormal="100" workbookViewId="0">
      <selection activeCell="A24" sqref="A24"/>
    </sheetView>
  </sheetViews>
  <sheetFormatPr baseColWidth="10" defaultColWidth="8.7109375" defaultRowHeight="15" x14ac:dyDescent="0.25"/>
  <cols>
    <col min="1" max="1" width="110" customWidth="1"/>
  </cols>
  <sheetData>
    <row r="1" spans="1:1" ht="18" x14ac:dyDescent="0.25">
      <c r="A1" s="3" t="s">
        <v>66</v>
      </c>
    </row>
    <row r="2" spans="1:1" x14ac:dyDescent="0.25">
      <c r="A2" s="4"/>
    </row>
    <row r="3" spans="1:1" x14ac:dyDescent="0.25">
      <c r="A3" s="4" t="s">
        <v>67</v>
      </c>
    </row>
    <row r="4" spans="1:1" x14ac:dyDescent="0.25">
      <c r="A4" s="4" t="s">
        <v>68</v>
      </c>
    </row>
    <row r="5" spans="1:1" x14ac:dyDescent="0.25">
      <c r="A5" s="4" t="s">
        <v>69</v>
      </c>
    </row>
    <row r="6" spans="1:1" x14ac:dyDescent="0.25">
      <c r="A6" s="4" t="s">
        <v>70</v>
      </c>
    </row>
    <row r="7" spans="1:1" x14ac:dyDescent="0.25">
      <c r="A7" s="4" t="s">
        <v>71</v>
      </c>
    </row>
    <row r="8" spans="1:1" x14ac:dyDescent="0.25">
      <c r="A8" s="4"/>
    </row>
    <row r="9" spans="1:1" x14ac:dyDescent="0.25">
      <c r="A9" s="4" t="s">
        <v>72</v>
      </c>
    </row>
    <row r="10" spans="1:1" x14ac:dyDescent="0.25">
      <c r="A10" s="4" t="s">
        <v>73</v>
      </c>
    </row>
    <row r="11" spans="1:1" x14ac:dyDescent="0.25">
      <c r="A11" s="4" t="s">
        <v>74</v>
      </c>
    </row>
    <row r="12" spans="1:1" x14ac:dyDescent="0.25">
      <c r="A12" s="4" t="s">
        <v>75</v>
      </c>
    </row>
    <row r="13" spans="1:1" x14ac:dyDescent="0.25">
      <c r="A13" s="4" t="s">
        <v>76</v>
      </c>
    </row>
    <row r="14" spans="1:1" x14ac:dyDescent="0.25">
      <c r="A14" s="4" t="s">
        <v>77</v>
      </c>
    </row>
    <row r="15" spans="1:1" x14ac:dyDescent="0.25">
      <c r="A15" s="4"/>
    </row>
    <row r="16" spans="1:1" x14ac:dyDescent="0.25">
      <c r="A16" s="4" t="s">
        <v>78</v>
      </c>
    </row>
    <row r="17" spans="1:1" x14ac:dyDescent="0.25">
      <c r="A17" s="4" t="s">
        <v>79</v>
      </c>
    </row>
    <row r="18" spans="1:1" x14ac:dyDescent="0.25">
      <c r="A18" s="4" t="s">
        <v>80</v>
      </c>
    </row>
    <row r="19" spans="1:1" x14ac:dyDescent="0.25">
      <c r="A19" s="4" t="s">
        <v>81</v>
      </c>
    </row>
    <row r="20" spans="1:1" x14ac:dyDescent="0.25">
      <c r="A20" s="4" t="s">
        <v>82</v>
      </c>
    </row>
    <row r="21" spans="1:1" x14ac:dyDescent="0.25">
      <c r="A21" s="4" t="s">
        <v>83</v>
      </c>
    </row>
    <row r="22" spans="1:1" x14ac:dyDescent="0.25">
      <c r="A22" s="4"/>
    </row>
    <row r="23" spans="1:1" x14ac:dyDescent="0.25">
      <c r="A23" s="4" t="s">
        <v>84</v>
      </c>
    </row>
    <row r="24" spans="1:1" x14ac:dyDescent="0.25">
      <c r="A24" s="4" t="s">
        <v>85</v>
      </c>
    </row>
    <row r="25" spans="1:1" x14ac:dyDescent="0.25">
      <c r="A25" s="4" t="s">
        <v>86</v>
      </c>
    </row>
    <row r="26" spans="1:1" x14ac:dyDescent="0.25">
      <c r="A26" s="4"/>
    </row>
    <row r="27" spans="1:1" x14ac:dyDescent="0.25">
      <c r="A27" s="4" t="s">
        <v>87</v>
      </c>
    </row>
    <row r="28" spans="1:1" x14ac:dyDescent="0.25">
      <c r="A28" s="4" t="s">
        <v>88</v>
      </c>
    </row>
    <row r="29" spans="1:1" x14ac:dyDescent="0.25">
      <c r="A29" s="4" t="s">
        <v>89</v>
      </c>
    </row>
    <row r="30" spans="1:1" x14ac:dyDescent="0.25">
      <c r="A30" s="4" t="s">
        <v>90</v>
      </c>
    </row>
    <row r="31" spans="1:1" x14ac:dyDescent="0.25">
      <c r="A31" s="4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Donors</vt:lpstr>
      <vt:lpstr>Institutions</vt:lpstr>
      <vt:lpstr>Interventions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Yoan Raih</cp:lastModifiedBy>
  <cp:revision>0</cp:revision>
  <dcterms:created xsi:type="dcterms:W3CDTF">2026-05-12T08:26:32Z</dcterms:created>
  <dcterms:modified xsi:type="dcterms:W3CDTF">2026-05-17T08:22:46Z</dcterms:modified>
  <dc:language>en-US</dc:language>
</cp:coreProperties>
</file>